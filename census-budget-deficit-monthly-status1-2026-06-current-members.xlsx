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Status1" sheetId="1" r:id="rId1"/>
    <sheet name="Print Cens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0.83203125" customWidth="1"/>
    <col min="2" max="2" width="24.83203125" customWidth="1"/>
    <col min="3" max="3" width="8.83203125" customWidth="1"/>
    <col min="4" max="4" width="8.83203125" customWidth="1"/>
    <col min="5" max="5" width="12.83203125" customWidth="1"/>
    <col min="6" max="6" width="12.83203125" customWidth="1"/>
    <col min="7" max="7" width="26.83203125" customWidth="1"/>
    <col min="8" max="8" width="34.83203125" customWidth="1"/>
    <col min="9" max="9" width="34.83203125" customWidth="1"/>
  </cols>
  <sheetData>
    <row r="1">
      <c r="A1" t="str">
        <v>Report Type</v>
      </c>
      <c r="B1" t="str">
        <v>Monthly Census Budget/Deficit (Status 1 Only)</v>
      </c>
      <c r="C1" t="str">
        <v>As Of Date</v>
      </c>
      <c r="D1" t="str">
        <v>2026-06-19</v>
      </c>
      <c r="E1" t="str">
        <v>Report Month</v>
      </c>
      <c r="F1" t="str">
        <v>2026-06</v>
      </c>
    </row>
    <row r="3">
      <c r="A3" t="str">
        <v>Client ID</v>
      </c>
      <c r="B3" t="str">
        <v>Client Name</v>
      </c>
      <c r="C3" t="str">
        <v>Status</v>
      </c>
      <c r="D3" t="str">
        <v>Bed</v>
      </c>
      <c r="E3" t="str">
        <v>Actual Rate</v>
      </c>
      <c r="F3" t="str">
        <v>Target Rate</v>
      </c>
      <c r="G3" t="str">
        <v>Variance (Actual - Target)</v>
      </c>
      <c r="H3" t="str">
        <v>Deficit (Target - Actual if positive)</v>
      </c>
      <c r="I3" t="str">
        <v>Surplus (Actual - Target if positive)</v>
      </c>
    </row>
    <row r="4">
      <c r="A4" t="str">
        <v>144</v>
      </c>
      <c r="B4" t="str">
        <v>Adriana Cadena</v>
      </c>
      <c r="C4" t="str">
        <v>1</v>
      </c>
      <c r="D4" t="str">
        <v>2B</v>
      </c>
      <c r="E4">
        <v>600</v>
      </c>
      <c r="F4">
        <v>1500</v>
      </c>
      <c r="G4">
        <f>E4-F4</f>
      </c>
      <c r="H4">
        <f>MAX(0,F4-E4)</f>
      </c>
      <c r="I4">
        <f>MAX(0,E4-F4)</f>
      </c>
    </row>
    <row r="5">
      <c r="A5" t="str">
        <v>150</v>
      </c>
      <c r="B5" t="str">
        <v>Alli</v>
      </c>
      <c r="C5" t="str">
        <v>1</v>
      </c>
      <c r="D5" t="str">
        <v>1B</v>
      </c>
      <c r="E5">
        <v>1000</v>
      </c>
      <c r="F5">
        <v>1500</v>
      </c>
      <c r="G5">
        <f>E5-F5</f>
      </c>
      <c r="H5">
        <f>MAX(0,F5-E5)</f>
      </c>
      <c r="I5">
        <f>MAX(0,E5-F5)</f>
      </c>
    </row>
    <row r="6">
      <c r="A6" t="str">
        <v>148</v>
      </c>
      <c r="B6" t="str">
        <v>Barbara Bruner-Price</v>
      </c>
      <c r="C6" t="str">
        <v>1</v>
      </c>
      <c r="D6" t="str">
        <v>4</v>
      </c>
      <c r="E6">
        <v>1200</v>
      </c>
      <c r="F6">
        <v>1500</v>
      </c>
      <c r="G6">
        <f>E6-F6</f>
      </c>
      <c r="H6">
        <f>MAX(0,F6-E6)</f>
      </c>
      <c r="I6">
        <f>MAX(0,E6-F6)</f>
      </c>
    </row>
    <row r="7">
      <c r="A7" t="str">
        <v>160</v>
      </c>
      <c r="B7" t="str">
        <v>Darren W</v>
      </c>
      <c r="C7" t="str">
        <v>1</v>
      </c>
      <c r="D7" t="str">
        <v>4B</v>
      </c>
      <c r="E7">
        <v>1500</v>
      </c>
      <c r="F7">
        <v>1500</v>
      </c>
      <c r="G7">
        <f>E7-F7</f>
      </c>
      <c r="H7">
        <f>MAX(0,F7-E7)</f>
      </c>
      <c r="I7">
        <f>MAX(0,E7-F7)</f>
      </c>
    </row>
    <row r="8">
      <c r="A8" t="str">
        <v>154</v>
      </c>
      <c r="B8" t="str">
        <v>Jared Mercado</v>
      </c>
      <c r="C8" t="str">
        <v>1</v>
      </c>
      <c r="D8" t="str">
        <v>4A</v>
      </c>
      <c r="E8">
        <v>1500</v>
      </c>
      <c r="F8">
        <v>1500</v>
      </c>
      <c r="G8">
        <f>E8-F8</f>
      </c>
      <c r="H8">
        <f>MAX(0,F8-E8)</f>
      </c>
      <c r="I8">
        <f>MAX(0,E8-F8)</f>
      </c>
    </row>
    <row r="9">
      <c r="A9" t="str">
        <v>161</v>
      </c>
      <c r="B9" t="str">
        <v>Jared Unfug</v>
      </c>
      <c r="C9" t="str">
        <v>1</v>
      </c>
      <c r="D9" t="str">
        <v>2B</v>
      </c>
      <c r="E9">
        <v>1200</v>
      </c>
      <c r="F9">
        <v>1500</v>
      </c>
      <c r="G9">
        <f>E9-F9</f>
      </c>
      <c r="H9">
        <f>MAX(0,F9-E9)</f>
      </c>
      <c r="I9">
        <f>MAX(0,E9-F9)</f>
      </c>
    </row>
    <row r="10">
      <c r="A10" t="str">
        <v>167</v>
      </c>
      <c r="B10" t="str">
        <v>Jose Rodriguez</v>
      </c>
      <c r="C10" t="str">
        <v>1</v>
      </c>
      <c r="D10" t="str">
        <v>3A</v>
      </c>
      <c r="E10">
        <v>1500</v>
      </c>
      <c r="F10">
        <v>1500</v>
      </c>
      <c r="G10">
        <f>E10-F10</f>
      </c>
      <c r="H10">
        <f>MAX(0,F10-E10)</f>
      </c>
      <c r="I10">
        <f>MAX(0,E10-F10)</f>
      </c>
    </row>
    <row r="11">
      <c r="A11" t="str">
        <v>149</v>
      </c>
      <c r="B11" t="str">
        <v>Michael Brabo</v>
      </c>
      <c r="C11" t="str">
        <v>1</v>
      </c>
      <c r="D11" t="str">
        <v>2A</v>
      </c>
      <c r="E11">
        <v>1500</v>
      </c>
      <c r="F11">
        <v>1500</v>
      </c>
      <c r="G11">
        <f>E11-F11</f>
      </c>
      <c r="H11">
        <f>MAX(0,F11-E11)</f>
      </c>
      <c r="I11">
        <f>MAX(0,E11-F11)</f>
      </c>
    </row>
    <row r="12">
      <c r="A12" t="str">
        <v>141</v>
      </c>
      <c r="B12" t="str">
        <v>Monica Gray</v>
      </c>
      <c r="C12" t="str">
        <v>1</v>
      </c>
      <c r="D12" t="str">
        <v>2A</v>
      </c>
      <c r="E12">
        <v>500</v>
      </c>
      <c r="F12">
        <v>1500</v>
      </c>
      <c r="G12">
        <f>E12-F12</f>
      </c>
      <c r="H12">
        <f>MAX(0,F12-E12)</f>
      </c>
      <c r="I12">
        <f>MAX(0,E12-F12)</f>
      </c>
    </row>
    <row r="13">
      <c r="A13" t="str">
        <v>159</v>
      </c>
      <c r="B13" t="str">
        <v>Patrick Sullivan</v>
      </c>
      <c r="C13" t="str">
        <v>1</v>
      </c>
      <c r="D13" t="str">
        <v>1A</v>
      </c>
      <c r="E13">
        <v>0</v>
      </c>
      <c r="F13">
        <v>1500</v>
      </c>
      <c r="G13">
        <f>E13-F13</f>
      </c>
      <c r="H13">
        <f>MAX(0,F13-E13)</f>
      </c>
      <c r="I13">
        <f>MAX(0,E13-F13)</f>
      </c>
    </row>
    <row r="14">
      <c r="A14" t="str">
        <v>166</v>
      </c>
      <c r="B14" t="str">
        <v>Sophia</v>
      </c>
      <c r="C14" t="str">
        <v>1</v>
      </c>
      <c r="D14" t="str">
        <v>3C</v>
      </c>
      <c r="E14">
        <v>1000</v>
      </c>
      <c r="F14">
        <v>1500</v>
      </c>
      <c r="G14">
        <f>E14-F14</f>
      </c>
      <c r="H14">
        <f>MAX(0,F14-E14)</f>
      </c>
      <c r="I14">
        <f>MAX(0,E14-F14)</f>
      </c>
    </row>
    <row r="15">
      <c r="A15" t="str">
        <v/>
      </c>
      <c r="B15" t="str">
        <v>TOTALS</v>
      </c>
      <c r="C15" t="str">
        <v/>
      </c>
      <c r="D15" t="str">
        <v/>
      </c>
      <c r="E15">
        <f>SUM(E4:E14)</f>
      </c>
      <c r="F15">
        <f>SUM(F4:F14)</f>
      </c>
      <c r="G15">
        <f>SUM(G4:G14)</f>
      </c>
      <c r="H15">
        <f>SUM(H4:H14)</f>
      </c>
      <c r="I15">
        <f>SUM(I4:I14)</f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26.83203125" customWidth="1"/>
    <col min="3" max="3" width="10.83203125" customWidth="1"/>
    <col min="4" max="4" width="10.83203125" customWidth="1"/>
    <col min="5" max="5" width="14.83203125" customWidth="1"/>
  </cols>
  <sheetData>
    <row r="1">
      <c r="A1" t="str">
        <v>Census Print Report</v>
      </c>
      <c r="B1" t="str">
        <v/>
      </c>
      <c r="C1" t="str">
        <v/>
      </c>
      <c r="D1" t="str">
        <v/>
      </c>
      <c r="E1" t="str">
        <v/>
      </c>
    </row>
    <row r="2">
      <c r="A2" t="str">
        <v>As Of Date</v>
      </c>
      <c r="B2" t="str">
        <v>2026-06-19</v>
      </c>
      <c r="C2" t="str">
        <v/>
      </c>
      <c r="D2" t="str">
        <v/>
      </c>
      <c r="E2" t="str">
        <v/>
      </c>
    </row>
    <row r="3">
      <c r="A3" t="str">
        <v>Report Month</v>
      </c>
      <c r="B3" t="str">
        <v>2026-06</v>
      </c>
      <c r="C3" t="str">
        <v/>
      </c>
      <c r="D3" t="str">
        <v/>
      </c>
      <c r="E3" t="str">
        <v/>
      </c>
    </row>
    <row r="5">
      <c r="A5" t="str">
        <v>Client ID</v>
      </c>
      <c r="B5" t="str">
        <v>Client Name</v>
      </c>
      <c r="C5" t="str">
        <v>Status</v>
      </c>
      <c r="D5" t="str">
        <v>Bed</v>
      </c>
      <c r="E5" t="str">
        <v>Rate</v>
      </c>
    </row>
    <row r="6">
      <c r="A6" t="str">
        <v>144</v>
      </c>
      <c r="B6" t="str">
        <v>Adriana Cadena</v>
      </c>
      <c r="C6" t="str">
        <v>1</v>
      </c>
      <c r="D6" t="str">
        <v>2B</v>
      </c>
      <c r="E6">
        <v>600</v>
      </c>
    </row>
    <row r="7">
      <c r="A7" t="str">
        <v>150</v>
      </c>
      <c r="B7" t="str">
        <v>Alli</v>
      </c>
      <c r="C7" t="str">
        <v>1</v>
      </c>
      <c r="D7" t="str">
        <v>1B</v>
      </c>
      <c r="E7">
        <v>1000</v>
      </c>
    </row>
    <row r="8">
      <c r="A8" t="str">
        <v>148</v>
      </c>
      <c r="B8" t="str">
        <v>Barbara Bruner-Price</v>
      </c>
      <c r="C8" t="str">
        <v>1</v>
      </c>
      <c r="D8" t="str">
        <v>4</v>
      </c>
      <c r="E8">
        <v>1200</v>
      </c>
    </row>
    <row r="9">
      <c r="A9" t="str">
        <v>160</v>
      </c>
      <c r="B9" t="str">
        <v>Darren W</v>
      </c>
      <c r="C9" t="str">
        <v>1</v>
      </c>
      <c r="D9" t="str">
        <v>4B</v>
      </c>
      <c r="E9">
        <v>1500</v>
      </c>
    </row>
    <row r="10">
      <c r="A10" t="str">
        <v>154</v>
      </c>
      <c r="B10" t="str">
        <v>Jared Mercado</v>
      </c>
      <c r="C10" t="str">
        <v>1</v>
      </c>
      <c r="D10" t="str">
        <v>4A</v>
      </c>
      <c r="E10">
        <v>1500</v>
      </c>
    </row>
    <row r="11">
      <c r="A11" t="str">
        <v>161</v>
      </c>
      <c r="B11" t="str">
        <v>Jared Unfug</v>
      </c>
      <c r="C11" t="str">
        <v>1</v>
      </c>
      <c r="D11" t="str">
        <v>2B</v>
      </c>
      <c r="E11">
        <v>1200</v>
      </c>
    </row>
    <row r="12">
      <c r="A12" t="str">
        <v>167</v>
      </c>
      <c r="B12" t="str">
        <v>Jose Rodriguez</v>
      </c>
      <c r="C12" t="str">
        <v>1</v>
      </c>
      <c r="D12" t="str">
        <v>3A</v>
      </c>
      <c r="E12">
        <v>1500</v>
      </c>
    </row>
    <row r="13">
      <c r="A13" t="str">
        <v>149</v>
      </c>
      <c r="B13" t="str">
        <v>Michael Brabo</v>
      </c>
      <c r="C13" t="str">
        <v>1</v>
      </c>
      <c r="D13" t="str">
        <v>2A</v>
      </c>
      <c r="E13">
        <v>1500</v>
      </c>
    </row>
    <row r="14">
      <c r="A14" t="str">
        <v>141</v>
      </c>
      <c r="B14" t="str">
        <v>Monica Gray</v>
      </c>
      <c r="C14" t="str">
        <v>1</v>
      </c>
      <c r="D14" t="str">
        <v>2A</v>
      </c>
      <c r="E14">
        <v>500</v>
      </c>
    </row>
    <row r="15">
      <c r="A15" t="str">
        <v>159</v>
      </c>
      <c r="B15" t="str">
        <v>Patrick Sullivan</v>
      </c>
      <c r="C15" t="str">
        <v>1</v>
      </c>
      <c r="D15" t="str">
        <v>1A</v>
      </c>
      <c r="E15">
        <v>0</v>
      </c>
    </row>
    <row r="16">
      <c r="A16" t="str">
        <v>166</v>
      </c>
      <c r="B16" t="str">
        <v>Sophia</v>
      </c>
      <c r="C16" t="str">
        <v>1</v>
      </c>
      <c r="D16" t="str">
        <v>3C</v>
      </c>
      <c r="E16">
        <v>1000</v>
      </c>
    </row>
    <row r="18">
      <c r="A18" t="str">
        <v>Summary</v>
      </c>
      <c r="B18" t="str">
        <v/>
      </c>
      <c r="C18" t="str">
        <v/>
      </c>
      <c r="D18" t="str">
        <v/>
      </c>
      <c r="E18" t="str">
        <v/>
      </c>
    </row>
    <row r="19">
      <c r="A19" t="str">
        <v>Members In Census</v>
      </c>
      <c r="B19">
        <v>11</v>
      </c>
      <c r="C19" t="str">
        <v/>
      </c>
      <c r="D19" t="str">
        <v/>
      </c>
      <c r="E19" t="str">
        <v/>
      </c>
    </row>
    <row r="20">
      <c r="A20" t="str">
        <v>Rate Column Total</v>
      </c>
      <c r="B20" t="str">
        <v/>
      </c>
      <c r="C20" t="str">
        <v/>
      </c>
      <c r="D20" t="str">
        <v/>
      </c>
      <c r="E20">
        <f>SUM(E6:E16)</f>
        <v>0</v>
      </c>
    </row>
    <row r="21">
      <c r="A21" t="str">
        <v>Members x 1500</v>
      </c>
      <c r="B21" t="str">
        <v/>
      </c>
      <c r="C21" t="str">
        <v/>
      </c>
      <c r="D21" t="str">
        <v/>
      </c>
      <c r="E21">
        <f>B19*1500</f>
        <v>0</v>
      </c>
    </row>
    <row r="22">
      <c r="A22" t="str">
        <v>Difference (Rate Total - Members x 1500)</v>
      </c>
      <c r="B22" t="str">
        <v/>
      </c>
      <c r="C22" t="str">
        <v/>
      </c>
      <c r="D22" t="str">
        <v/>
      </c>
      <c r="E22">
        <f>E20-E21</f>
        <v>0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Status1</vt:lpstr>
      <vt:lpstr>Print Census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