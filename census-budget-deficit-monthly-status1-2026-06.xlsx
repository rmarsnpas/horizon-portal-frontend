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Statu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10.83203125" customWidth="1"/>
    <col min="2" max="2" width="24.83203125" customWidth="1"/>
    <col min="3" max="3" width="8.83203125" customWidth="1"/>
    <col min="4" max="4" width="8.83203125" customWidth="1"/>
    <col min="5" max="5" width="12.83203125" customWidth="1"/>
    <col min="6" max="6" width="12.83203125" customWidth="1"/>
    <col min="7" max="7" width="26.83203125" customWidth="1"/>
    <col min="8" max="8" width="34.83203125" customWidth="1"/>
    <col min="9" max="9" width="34.83203125" customWidth="1"/>
  </cols>
  <sheetData>
    <row r="1">
      <c r="A1" t="str">
        <v>Report Type</v>
      </c>
      <c r="B1" t="str">
        <v>Monthly Census Budget/Deficit (Status 1 Only)</v>
      </c>
      <c r="C1" t="str">
        <v>As Of Date</v>
      </c>
      <c r="D1" t="str">
        <v>2026-06-19</v>
      </c>
      <c r="E1" t="str">
        <v>Report Month</v>
      </c>
      <c r="F1" t="str">
        <v>2026-06</v>
      </c>
    </row>
    <row r="3">
      <c r="A3" t="str">
        <v>Client ID</v>
      </c>
      <c r="B3" t="str">
        <v>Client Name</v>
      </c>
      <c r="C3" t="str">
        <v>Status</v>
      </c>
      <c r="D3" t="str">
        <v>Bed</v>
      </c>
      <c r="E3" t="str">
        <v>Actual Rate</v>
      </c>
      <c r="F3" t="str">
        <v>Target Rate</v>
      </c>
      <c r="G3" t="str">
        <v>Variance (Actual - Target)</v>
      </c>
      <c r="H3" t="str">
        <v>Deficit (Target - Actual if positive)</v>
      </c>
      <c r="I3" t="str">
        <v>Surplus (Actual - Target if positive)</v>
      </c>
    </row>
    <row r="4">
      <c r="A4">
        <v>144</v>
      </c>
      <c r="B4" t="str">
        <v>Adriana Cadena</v>
      </c>
      <c r="C4" t="str">
        <v>1</v>
      </c>
      <c r="D4" t="str">
        <v>2B</v>
      </c>
      <c r="E4">
        <v>600</v>
      </c>
      <c r="F4">
        <v>1500</v>
      </c>
      <c r="G4">
        <f>E4-F4</f>
      </c>
      <c r="H4">
        <f>MAX(0,F4-E4)</f>
      </c>
      <c r="I4">
        <f>MAX(0,E4-F4)</f>
      </c>
    </row>
    <row r="5">
      <c r="A5">
        <v>150</v>
      </c>
      <c r="B5" t="str">
        <v>Alli</v>
      </c>
      <c r="C5" t="str">
        <v>1</v>
      </c>
      <c r="D5" t="str">
        <v>1B</v>
      </c>
      <c r="E5">
        <v>1000</v>
      </c>
      <c r="F5">
        <v>1500</v>
      </c>
      <c r="G5">
        <f>E5-F5</f>
      </c>
      <c r="H5">
        <f>MAX(0,F5-E5)</f>
      </c>
      <c r="I5">
        <f>MAX(0,E5-F5)</f>
      </c>
    </row>
    <row r="6">
      <c r="A6">
        <v>148</v>
      </c>
      <c r="B6" t="str">
        <v>Barbara</v>
      </c>
      <c r="C6" t="str">
        <v>1</v>
      </c>
      <c r="D6" t="str">
        <v>4</v>
      </c>
      <c r="E6">
        <v>1200</v>
      </c>
      <c r="F6">
        <v>1500</v>
      </c>
      <c r="G6">
        <f>E6-F6</f>
      </c>
      <c r="H6">
        <f>MAX(0,F6-E6)</f>
      </c>
      <c r="I6">
        <f>MAX(0,E6-F6)</f>
      </c>
    </row>
    <row r="7">
      <c r="A7">
        <v>146</v>
      </c>
      <c r="B7" t="str">
        <v>Brian McKnight</v>
      </c>
      <c r="C7" t="str">
        <v>1</v>
      </c>
      <c r="D7" t="str">
        <v>1B</v>
      </c>
      <c r="E7">
        <v>1200</v>
      </c>
      <c r="F7">
        <v>1500</v>
      </c>
      <c r="G7">
        <f>E7-F7</f>
      </c>
      <c r="H7">
        <f>MAX(0,F7-E7)</f>
      </c>
      <c r="I7">
        <f>MAX(0,E7-F7)</f>
      </c>
    </row>
    <row r="8">
      <c r="A8">
        <v>155</v>
      </c>
      <c r="B8" t="str">
        <v>Chris</v>
      </c>
      <c r="C8" t="str">
        <v>1</v>
      </c>
      <c r="D8" t="str">
        <v>4B</v>
      </c>
      <c r="E8">
        <v>800</v>
      </c>
      <c r="F8">
        <v>1500</v>
      </c>
      <c r="G8">
        <f>E8-F8</f>
      </c>
      <c r="H8">
        <f>MAX(0,F8-E8)</f>
      </c>
      <c r="I8">
        <f>MAX(0,E8-F8)</f>
      </c>
    </row>
    <row r="9">
      <c r="A9">
        <v>153</v>
      </c>
      <c r="B9" t="str">
        <v>Gili Shalev</v>
      </c>
      <c r="C9" t="str">
        <v>1</v>
      </c>
      <c r="D9" t="str">
        <v>1A</v>
      </c>
      <c r="E9">
        <v>800</v>
      </c>
      <c r="F9">
        <v>1500</v>
      </c>
      <c r="G9">
        <f>E9-F9</f>
      </c>
      <c r="H9">
        <f>MAX(0,F9-E9)</f>
      </c>
      <c r="I9">
        <f>MAX(0,E9-F9)</f>
      </c>
    </row>
    <row r="10">
      <c r="A10">
        <v>154</v>
      </c>
      <c r="B10" t="str">
        <v>Jared M</v>
      </c>
      <c r="C10" t="str">
        <v>1</v>
      </c>
      <c r="D10" t="str">
        <v>4A</v>
      </c>
      <c r="E10">
        <v>1500</v>
      </c>
      <c r="F10">
        <v>1500</v>
      </c>
      <c r="G10">
        <f>E10-F10</f>
      </c>
      <c r="H10">
        <f>MAX(0,F10-E10)</f>
      </c>
      <c r="I10">
        <f>MAX(0,E10-F10)</f>
      </c>
    </row>
    <row r="11">
      <c r="A11">
        <v>143</v>
      </c>
      <c r="B11" t="str">
        <v>Jose Velasquez</v>
      </c>
      <c r="C11" t="str">
        <v>1</v>
      </c>
      <c r="D11" t="str">
        <v>3B</v>
      </c>
      <c r="E11">
        <v>1200</v>
      </c>
      <c r="F11">
        <v>1500</v>
      </c>
      <c r="G11">
        <f>E11-F11</f>
      </c>
      <c r="H11">
        <f>MAX(0,F11-E11)</f>
      </c>
      <c r="I11">
        <f>MAX(0,E11-F11)</f>
      </c>
    </row>
    <row r="12">
      <c r="A12">
        <v>149</v>
      </c>
      <c r="B12" t="str">
        <v>Michael Brabo</v>
      </c>
      <c r="C12" t="str">
        <v>1</v>
      </c>
      <c r="D12" t="str">
        <v>2A</v>
      </c>
      <c r="E12">
        <v>1500</v>
      </c>
      <c r="F12">
        <v>1500</v>
      </c>
      <c r="G12">
        <f>E12-F12</f>
      </c>
      <c r="H12">
        <f>MAX(0,F12-E12)</f>
      </c>
      <c r="I12">
        <f>MAX(0,E12-F12)</f>
      </c>
    </row>
    <row r="13">
      <c r="A13">
        <v>157</v>
      </c>
      <c r="B13" t="str">
        <v>Miranda Binger</v>
      </c>
      <c r="C13" t="str">
        <v>1</v>
      </c>
      <c r="D13" t="str">
        <v>3C</v>
      </c>
      <c r="E13">
        <v>1200</v>
      </c>
      <c r="F13">
        <v>1500</v>
      </c>
      <c r="G13">
        <f>E13-F13</f>
      </c>
      <c r="H13">
        <f>MAX(0,F13-E13)</f>
      </c>
      <c r="I13">
        <f>MAX(0,E13-F13)</f>
      </c>
    </row>
    <row r="14">
      <c r="A14">
        <v>141</v>
      </c>
      <c r="B14" t="str">
        <v>Monica Gray</v>
      </c>
      <c r="C14" t="str">
        <v>1</v>
      </c>
      <c r="D14" t="str">
        <v>2A</v>
      </c>
      <c r="E14">
        <v>500</v>
      </c>
      <c r="F14">
        <v>1500</v>
      </c>
      <c r="G14">
        <f>E14-F14</f>
      </c>
      <c r="H14">
        <f>MAX(0,F14-E14)</f>
      </c>
      <c r="I14">
        <f>MAX(0,E14-F14)</f>
      </c>
    </row>
    <row r="15">
      <c r="A15">
        <v>139</v>
      </c>
      <c r="B15" t="str">
        <v>Patrick Sullivan</v>
      </c>
      <c r="C15" t="str">
        <v>1</v>
      </c>
      <c r="D15" t="str">
        <v>1A</v>
      </c>
      <c r="E15">
        <v>1500</v>
      </c>
      <c r="F15">
        <v>1500</v>
      </c>
      <c r="G15">
        <f>E15-F15</f>
      </c>
      <c r="H15">
        <f>MAX(0,F15-E15)</f>
      </c>
      <c r="I15">
        <f>MAX(0,E15-F15)</f>
      </c>
    </row>
    <row r="16">
      <c r="A16">
        <v>140</v>
      </c>
      <c r="B16" t="str">
        <v>Ryan Tokeshi</v>
      </c>
      <c r="C16" t="str">
        <v>1</v>
      </c>
      <c r="D16" t="str">
        <v>3A</v>
      </c>
      <c r="E16">
        <v>1200</v>
      </c>
      <c r="F16">
        <v>1500</v>
      </c>
      <c r="G16">
        <f>E16-F16</f>
      </c>
      <c r="H16">
        <f>MAX(0,F16-E16)</f>
      </c>
      <c r="I16">
        <f>MAX(0,E16-F16)</f>
      </c>
    </row>
    <row r="17">
      <c r="A17">
        <v>116</v>
      </c>
      <c r="B17" t="str">
        <v>Samuel Ramirez</v>
      </c>
      <c r="C17" t="str">
        <v>1</v>
      </c>
      <c r="D17" t="str">
        <v>2B</v>
      </c>
      <c r="E17">
        <v>1000</v>
      </c>
      <c r="F17">
        <v>1500</v>
      </c>
      <c r="G17">
        <f>E17-F17</f>
      </c>
      <c r="H17">
        <f>MAX(0,F17-E17)</f>
      </c>
      <c r="I17">
        <f>MAX(0,E17-F17)</f>
      </c>
    </row>
    <row r="18">
      <c r="A18">
        <v>156</v>
      </c>
      <c r="B18" t="str">
        <v>Tino</v>
      </c>
      <c r="C18" t="str">
        <v>1</v>
      </c>
      <c r="D18" t="str">
        <v>2C</v>
      </c>
      <c r="E18">
        <v>1500</v>
      </c>
      <c r="F18">
        <v>1500</v>
      </c>
      <c r="G18">
        <f>E18-F18</f>
      </c>
      <c r="H18">
        <f>MAX(0,F18-E18)</f>
      </c>
      <c r="I18">
        <f>MAX(0,E18-F18)</f>
      </c>
    </row>
    <row r="19">
      <c r="A19" t="str">
        <v/>
      </c>
      <c r="B19" t="str">
        <v>TOTALS</v>
      </c>
      <c r="C19" t="str">
        <v/>
      </c>
      <c r="D19" t="str">
        <v/>
      </c>
      <c r="E19">
        <f>SUM(E4:E18)</f>
      </c>
      <c r="F19">
        <f>SUM(F4:F18)</f>
      </c>
      <c r="G19">
        <f>SUM(G4:G18)</f>
      </c>
      <c r="H19">
        <f>SUM(H4:H18)</f>
      </c>
      <c r="I19">
        <f>SUM(I4:I18)</f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Status1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